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xio8858\Desktop\"/>
    </mc:Choice>
  </mc:AlternateContent>
  <bookViews>
    <workbookView xWindow="0" yWindow="0" windowWidth="21570" windowHeight="8055" activeTab="2"/>
  </bookViews>
  <sheets>
    <sheet name="Sheet1" sheetId="1" r:id="rId1"/>
    <sheet name="Sheet2" sheetId="2" r:id="rId2"/>
    <sheet name="Sheet3" sheetId="3" r:id="rId3"/>
  </sheets>
  <definedNames>
    <definedName name="solver_adj" localSheetId="0" hidden="1">Sheet1!$C$5</definedName>
    <definedName name="solver_adj" localSheetId="1" hidden="1">Sheet2!$B$2</definedName>
    <definedName name="solver_adj" localSheetId="2" hidden="1">Sheet3!$B$2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1" hidden="1">Sheet2!$B$2</definedName>
    <definedName name="solver_lhs2" localSheetId="1" hidden="1">Sheet2!$B$2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0</definedName>
    <definedName name="solver_num" localSheetId="1" hidden="1">2</definedName>
    <definedName name="solver_num" localSheetId="2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Sheet1!$C$6</definedName>
    <definedName name="solver_opt" localSheetId="1" hidden="1">Sheet2!$B$3</definedName>
    <definedName name="solver_opt" localSheetId="2" hidden="1">Sheet3!$B$3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2" localSheetId="1" hidden="1">1</definedName>
    <definedName name="solver_rhs1" localSheetId="1" hidden="1">0</definedName>
    <definedName name="solver_rhs2" localSheetId="1" hidden="1">10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1</definedName>
    <definedName name="solver_typ" localSheetId="2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3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7" i="2"/>
  <c r="C6" i="1"/>
  <c r="C3" i="1" l="1"/>
</calcChain>
</file>

<file path=xl/sharedStrings.xml><?xml version="1.0" encoding="utf-8"?>
<sst xmlns="http://schemas.openxmlformats.org/spreadsheetml/2006/main" count="10" uniqueCount="9">
  <si>
    <t>input(x):</t>
  </si>
  <si>
    <t>output[f(x)]:</t>
  </si>
  <si>
    <t>t:</t>
  </si>
  <si>
    <t>V(t):</t>
  </si>
  <si>
    <t>x</t>
  </si>
  <si>
    <t>min</t>
  </si>
  <si>
    <t>f(x)</t>
  </si>
  <si>
    <t>degrees</t>
  </si>
  <si>
    <t>time(sec)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</si>
</sst>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650481189851271E-2"/>
          <c:y val="4.8576480023330405E-2"/>
          <c:w val="0.8762384076990376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Sheet2!$B$7:$B$27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Sheet2!$C$7:$C$27</c:f>
              <c:numCache>
                <c:formatCode>General</c:formatCode>
                <c:ptCount val="21"/>
                <c:pt idx="0">
                  <c:v>0.90929742682568171</c:v>
                </c:pt>
                <c:pt idx="1">
                  <c:v>0.54151998963746872</c:v>
                </c:pt>
                <c:pt idx="2">
                  <c:v>0.11553929047322595</c:v>
                </c:pt>
                <c:pt idx="3">
                  <c:v>-0.2598666065820141</c:v>
                </c:pt>
                <c:pt idx="4">
                  <c:v>-0.50729988349469712</c:v>
                </c:pt>
                <c:pt idx="5">
                  <c:v>-0.59290198715637943</c:v>
                </c:pt>
                <c:pt idx="6">
                  <c:v>-0.52626880006815457</c:v>
                </c:pt>
                <c:pt idx="7">
                  <c:v>-0.35036095691046304</c:v>
                </c:pt>
                <c:pt idx="8">
                  <c:v>-0.12554947636402075</c:v>
                </c:pt>
                <c:pt idx="9">
                  <c:v>8.7461260360264886E-2</c:v>
                </c:pt>
                <c:pt idx="10">
                  <c:v>0.24169186279379476</c:v>
                </c:pt>
                <c:pt idx="11">
                  <c:v>0.31223306877778079</c:v>
                </c:pt>
                <c:pt idx="12">
                  <c:v>0.29798897739056751</c:v>
                </c:pt>
                <c:pt idx="13">
                  <c:v>0.21761312451783135</c:v>
                </c:pt>
                <c:pt idx="14">
                  <c:v>0.10162716724483091</c:v>
                </c:pt>
                <c:pt idx="15">
                  <c:v>-1.6768481543977452E-2</c:v>
                </c:pt>
                <c:pt idx="16">
                  <c:v>-0.10983596800414806</c:v>
                </c:pt>
                <c:pt idx="17">
                  <c:v>-0.16070592152587324</c:v>
                </c:pt>
                <c:pt idx="18">
                  <c:v>-0.16529726937530595</c:v>
                </c:pt>
                <c:pt idx="19">
                  <c:v>-0.13094017296360133</c:v>
                </c:pt>
                <c:pt idx="20">
                  <c:v>-7.2617247834684623E-2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2-4A85-A25A-4408ECF0C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129192"/>
        <c:axId val="657129848"/>
      </c:scatterChart>
      <c:valAx>
        <c:axId val="657129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29848"/>
        <c:crosses val="autoZero"/>
        <c:crossBetween val="midCat"/>
      </c:valAx>
      <c:valAx>
        <c:axId val="65712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29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481013</xdr:colOff>
      <xdr:row>3</xdr:row>
      <xdr:rowOff>161924</xdr:rowOff>
    </xdr:from>
    <xdr:to>
      <xdr:col>11</xdr:col>
      <xdr:colOff>176213</xdr:colOff>
      <xdr:row>18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zoomScale="200" zoomScaleNormal="200" workbookViewId="0">
      <selection activeCell="C6" sqref="C6"/>
    </sheetView>
  </sheetViews>
  <sheetFormatPr defaultRowHeight="15" x14ac:dyDescent="0.25"/>
  <cols>
    <col min="2" max="2" width="12.140625" bestFit="1" customWidth="1"/>
    <col min="3" max="3" width="10.5703125" bestFit="1" customWidth="1"/>
  </cols>
  <sheetData>
    <row r="2" spans="2:3" x14ac:dyDescent="0.25">
      <c r="B2" s="1" t="s">
        <v>0</v>
      </c>
      <c r="C2">
        <v>0.78340248408238111</v>
      </c>
    </row>
    <row r="3" spans="2:3" x14ac:dyDescent="0.25">
      <c r="B3" s="1" t="s">
        <v>1</v>
      </c>
      <c r="C3">
        <f>EXP(-C2/4)*(2-C2)-1</f>
        <v>2.0744157138907759E-4</v>
      </c>
    </row>
    <row r="5" spans="2:3" x14ac:dyDescent="0.25">
      <c r="B5" s="1" t="s">
        <v>2</v>
      </c>
      <c r="C5">
        <v>106.55460326516167</v>
      </c>
    </row>
    <row r="6" spans="2:3" x14ac:dyDescent="0.25">
      <c r="B6" s="1" t="s">
        <v>3</v>
      </c>
      <c r="C6">
        <f>1000000000+100000000*(1-EXP(-C5/100))-10000000*C5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27"/>
  <sheetViews>
    <sheetView zoomScale="200" zoomScaleNormal="200" workbookViewId="0">
      <selection activeCell="B3" sqref="B3"/>
    </sheetView>
  </sheetViews>
  <sheetFormatPr defaultRowHeight="15" x14ac:dyDescent="0.25"/>
  <sheetData>
    <row r="2" spans="1:3" x14ac:dyDescent="0.25">
      <c r="A2" t="s">
        <v>4</v>
      </c>
      <c r="B2">
        <v>0</v>
      </c>
    </row>
    <row r="3" spans="1:3" x14ac:dyDescent="0.25">
      <c r="A3" t="s">
        <v>5</v>
      </c>
      <c r="B3">
        <f>EXP(-0.2*B2)*SIN(B2+2)</f>
        <v>0.90929742682568171</v>
      </c>
    </row>
    <row r="6" spans="1:3" x14ac:dyDescent="0.25">
      <c r="B6" t="s">
        <v>4</v>
      </c>
      <c r="C6" t="s">
        <v>6</v>
      </c>
    </row>
    <row r="7" spans="1:3" x14ac:dyDescent="0.25">
      <c r="B7">
        <v>0</v>
      </c>
      <c r="C7">
        <f>EXP(-0.2*B7)*SIN(B7+2)</f>
        <v>0.90929742682568171</v>
      </c>
    </row>
    <row r="8" spans="1:3" x14ac:dyDescent="0.25">
      <c r="B8">
        <v>0.5</v>
      </c>
      <c r="C8">
        <f t="shared" ref="C8:C27" si="0">EXP(-0.2*B8)*SIN(B8+2)</f>
        <v>0.54151998963746872</v>
      </c>
    </row>
    <row r="9" spans="1:3" x14ac:dyDescent="0.25">
      <c r="B9">
        <v>1</v>
      </c>
      <c r="C9">
        <f t="shared" si="0"/>
        <v>0.11553929047322595</v>
      </c>
    </row>
    <row r="10" spans="1:3" x14ac:dyDescent="0.25">
      <c r="B10">
        <v>1.5</v>
      </c>
      <c r="C10">
        <f t="shared" si="0"/>
        <v>-0.2598666065820141</v>
      </c>
    </row>
    <row r="11" spans="1:3" x14ac:dyDescent="0.25">
      <c r="B11">
        <v>2</v>
      </c>
      <c r="C11">
        <f t="shared" si="0"/>
        <v>-0.50729988349469712</v>
      </c>
    </row>
    <row r="12" spans="1:3" x14ac:dyDescent="0.25">
      <c r="B12">
        <v>2.5</v>
      </c>
      <c r="C12">
        <f t="shared" si="0"/>
        <v>-0.59290198715637943</v>
      </c>
    </row>
    <row r="13" spans="1:3" x14ac:dyDescent="0.25">
      <c r="B13">
        <v>3</v>
      </c>
      <c r="C13">
        <f t="shared" si="0"/>
        <v>-0.52626880006815457</v>
      </c>
    </row>
    <row r="14" spans="1:3" x14ac:dyDescent="0.25">
      <c r="B14">
        <v>3.5</v>
      </c>
      <c r="C14">
        <f t="shared" si="0"/>
        <v>-0.35036095691046304</v>
      </c>
    </row>
    <row r="15" spans="1:3" x14ac:dyDescent="0.25">
      <c r="B15">
        <v>4</v>
      </c>
      <c r="C15">
        <f t="shared" si="0"/>
        <v>-0.12554947636402075</v>
      </c>
    </row>
    <row r="16" spans="1:3" x14ac:dyDescent="0.25">
      <c r="B16">
        <v>4.5</v>
      </c>
      <c r="C16">
        <f t="shared" si="0"/>
        <v>8.7461260360264886E-2</v>
      </c>
    </row>
    <row r="17" spans="2:3" x14ac:dyDescent="0.25">
      <c r="B17">
        <v>5</v>
      </c>
      <c r="C17">
        <f t="shared" si="0"/>
        <v>0.24169186279379476</v>
      </c>
    </row>
    <row r="18" spans="2:3" x14ac:dyDescent="0.25">
      <c r="B18">
        <v>5.5</v>
      </c>
      <c r="C18">
        <f t="shared" si="0"/>
        <v>0.31223306877778079</v>
      </c>
    </row>
    <row r="19" spans="2:3" x14ac:dyDescent="0.25">
      <c r="B19">
        <v>6</v>
      </c>
      <c r="C19">
        <f t="shared" si="0"/>
        <v>0.29798897739056751</v>
      </c>
    </row>
    <row r="20" spans="2:3" x14ac:dyDescent="0.25">
      <c r="B20">
        <v>6.5</v>
      </c>
      <c r="C20">
        <f t="shared" si="0"/>
        <v>0.21761312451783135</v>
      </c>
    </row>
    <row r="21" spans="2:3" x14ac:dyDescent="0.25">
      <c r="B21">
        <v>7</v>
      </c>
      <c r="C21">
        <f t="shared" si="0"/>
        <v>0.10162716724483091</v>
      </c>
    </row>
    <row r="22" spans="2:3" x14ac:dyDescent="0.25">
      <c r="B22">
        <v>7.5</v>
      </c>
      <c r="C22">
        <f t="shared" si="0"/>
        <v>-1.6768481543977452E-2</v>
      </c>
    </row>
    <row r="23" spans="2:3" x14ac:dyDescent="0.25">
      <c r="B23">
        <v>8</v>
      </c>
      <c r="C23">
        <f t="shared" si="0"/>
        <v>-0.10983596800414806</v>
      </c>
    </row>
    <row r="24" spans="2:3" x14ac:dyDescent="0.25">
      <c r="B24">
        <v>8.5</v>
      </c>
      <c r="C24">
        <f t="shared" si="0"/>
        <v>-0.16070592152587324</v>
      </c>
    </row>
    <row r="25" spans="2:3" x14ac:dyDescent="0.25">
      <c r="B25">
        <v>9</v>
      </c>
      <c r="C25">
        <f t="shared" si="0"/>
        <v>-0.16529726937530595</v>
      </c>
    </row>
    <row r="26" spans="2:3" x14ac:dyDescent="0.25">
      <c r="B26">
        <v>9.5</v>
      </c>
      <c r="C26">
        <f t="shared" si="0"/>
        <v>-0.13094017296360133</v>
      </c>
    </row>
    <row r="27" spans="2:3" x14ac:dyDescent="0.25">
      <c r="B27">
        <v>10</v>
      </c>
      <c r="C27">
        <f t="shared" si="0"/>
        <v>-7.2617247834684623E-2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3"/>
  <sheetViews>
    <sheetView tabSelected="1" zoomScale="200" zoomScaleNormal="200" workbookViewId="0">
      <selection activeCell="B3" sqref="B3"/>
    </sheetView>
  </sheetViews>
  <sheetFormatPr defaultRowHeight="15" x14ac:dyDescent="0.25"/>
  <sheetData>
    <row r="2" spans="1:2" x14ac:dyDescent="0.25">
      <c r="A2" t="s">
        <v>7</v>
      </c>
      <c r="B2">
        <v>65.215549512291929</v>
      </c>
    </row>
    <row r="3" spans="1:2" x14ac:dyDescent="0.25">
      <c r="A3" t="s">
        <v>8</v>
      </c>
      <c r="B3">
        <f>(2640/2/SIN(RADIANS(B2))+SQRT((5280-2640/TAN(RADIANS(B2)))^2+2640^2)/4)/60</f>
        <v>44.414076038229041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University of Sydney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jxio8858</dc:creator>
  <cp:lastModifiedBy>jxio8858</cp:lastModifiedBy>
  <dcterms:created xsi:type="dcterms:W3CDTF">2019-02-14T03:34:50Z</dcterms:created>
  <dcterms:modified xsi:type="dcterms:W3CDTF">2019-02-14T05:01:00Z</dcterms:modified>
</cp:coreProperties>
</file>